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 &amp; Assumptions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Claim Bounda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x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333333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101820"/>
      </patternFill>
    </fill>
    <fill>
      <patternFill patternType="solid">
        <fgColor rgb="000A84E8"/>
      </patternFill>
    </fill>
  </fills>
  <borders count="2">
    <border>
      <left/>
      <right/>
      <top/>
      <bottom/>
      <diagonal/>
    </border>
    <border>
      <bottom style="thin">
        <color rgb="00C9D1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E3" authorId="0" shapeId="0">
      <text>
        <t>Source is identified in this row and detailed in the Sources sheet.</t>
      </text>
    </comment>
    <comment ref="E4" authorId="0" shapeId="0">
      <text>
        <t>Source is identified in this row and detailed in the Sources sheet.</t>
      </text>
    </comment>
    <comment ref="E5" authorId="0" shapeId="0">
      <text>
        <t>Source is identified in this row and detailed in the Sources sheet.</t>
      </text>
    </comment>
    <comment ref="E6" authorId="0" shapeId="0">
      <text>
        <t>Source is identified in this row and detailed in the Sources sheet.</t>
      </text>
    </comment>
    <comment ref="E7" authorId="0" shapeId="0">
      <text>
        <t>Source is identified in this row and detailed in the Sources sheet.</t>
      </text>
    </comment>
    <comment ref="E8" authorId="0" shapeId="0">
      <text>
        <t>Source is identified in this row and detailed in the Sources sheet.</t>
      </text>
    </comment>
    <comment ref="E9" authorId="0" shapeId="0">
      <text>
        <t>Source is identified in this row and detailed in the Sources sheet.</t>
      </text>
    </comment>
    <comment ref="E10" authorId="0" shapeId="0">
      <text>
        <t>Source is identified in this row and detailed in the Sources sheet.</t>
      </text>
    </comment>
    <comment ref="E11" authorId="0" shapeId="0">
      <text>
        <t>Source is identified in this row and detailed in the Sources sheet.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26" customWidth="1" min="3" max="3"/>
    <col width="34" customWidth="1" min="4" max="4"/>
    <col width="34" customWidth="1" min="5" max="5"/>
  </cols>
  <sheetData>
    <row r="1" ht="26" customHeight="1">
      <c r="A1" s="1" t="inlineStr">
        <is>
          <t>Completion Receipt™ #001 — Public Production Metrics Audit</t>
        </is>
      </c>
      <c r="B1" s="1" t="n"/>
      <c r="C1" s="1" t="n"/>
      <c r="D1" s="1" t="n"/>
      <c r="E1" s="1" t="n"/>
    </row>
    <row r="2">
      <c r="A2" s="2" t="inlineStr">
        <is>
          <t>BRAIZ Works | Built with UBuildOS™ | INTAKE → DONE</t>
        </is>
      </c>
      <c r="B2" s="2" t="n"/>
      <c r="C2" s="2" t="n"/>
      <c r="D2" s="2" t="n"/>
      <c r="E2" s="2" t="n"/>
    </row>
    <row r="3" ht="32" customHeight="1">
      <c r="A3" s="3" t="inlineStr">
        <is>
          <t>Metric</t>
        </is>
      </c>
      <c r="B3" s="3" t="inlineStr">
        <is>
          <t>Value</t>
        </is>
      </c>
      <c r="C3" s="3" t="inlineStr">
        <is>
          <t>How to read it</t>
        </is>
      </c>
      <c r="D3" s="3" t="inlineStr">
        <is>
          <t>Limitation</t>
        </is>
      </c>
      <c r="E3" s="3" t="inlineStr">
        <is>
          <t>Source</t>
        </is>
      </c>
    </row>
    <row r="4" ht="32" customHeight="1">
      <c r="A4" s="3" t="inlineStr">
        <is>
          <t>Observed runtime artifact window (minutes)</t>
        </is>
      </c>
      <c r="B4" s="4" t="n">
        <v>66.40000000000001</v>
      </c>
      <c r="C4" s="3" t="inlineStr">
        <is>
          <t>Measured</t>
        </is>
      </c>
      <c r="D4" s="3" t="inlineStr">
        <is>
          <t>Not model compute time</t>
        </is>
      </c>
      <c r="E4" s="3" t="inlineStr">
        <is>
          <t>Audit record / artifact timestamps</t>
        </is>
      </c>
    </row>
    <row r="5" ht="32" customHeight="1">
      <c r="A5" s="3" t="inlineStr">
        <is>
          <t>Traditional human-equivalent labor — low</t>
        </is>
      </c>
      <c r="B5" s="4" t="n">
        <v>28</v>
      </c>
      <c r="C5" s="3" t="inlineStr">
        <is>
          <t>Modeled</t>
        </is>
      </c>
      <c r="D5" s="3" t="inlineStr">
        <is>
          <t>Scenario, not observed history</t>
        </is>
      </c>
      <c r="E5" s="3" t="inlineStr">
        <is>
          <t>Task decomposition</t>
        </is>
      </c>
    </row>
    <row r="6" ht="32" customHeight="1">
      <c r="A6" s="3" t="inlineStr">
        <is>
          <t>Traditional human-equivalent labor — midpoint</t>
        </is>
      </c>
      <c r="B6" s="4" t="n">
        <v>44</v>
      </c>
      <c r="C6" s="3" t="inlineStr">
        <is>
          <t>Modeled</t>
        </is>
      </c>
      <c r="D6" s="3" t="inlineStr">
        <is>
          <t>Scenario, not observed history</t>
        </is>
      </c>
      <c r="E6" s="3" t="inlineStr">
        <is>
          <t>Task decomposition</t>
        </is>
      </c>
    </row>
    <row r="7" ht="32" customHeight="1">
      <c r="A7" s="3" t="inlineStr">
        <is>
          <t>Traditional human-equivalent labor — high</t>
        </is>
      </c>
      <c r="B7" s="5" t="n">
        <v>64</v>
      </c>
      <c r="C7" s="3" t="inlineStr">
        <is>
          <t>Modeled</t>
        </is>
      </c>
      <c r="D7" s="3" t="inlineStr">
        <is>
          <t>Scenario, not observed history</t>
        </is>
      </c>
      <c r="E7" s="3" t="inlineStr">
        <is>
          <t>Task decomposition</t>
        </is>
      </c>
    </row>
    <row r="8" ht="32" customHeight="1">
      <c r="A8" s="3" t="inlineStr">
        <is>
          <t>Traditional replacement cost — low</t>
        </is>
      </c>
      <c r="B8" s="5" t="n">
        <v>2090.65</v>
      </c>
      <c r="C8" s="3" t="inlineStr">
        <is>
          <t>Modeled</t>
        </is>
      </c>
      <c r="D8" s="3" t="inlineStr">
        <is>
          <t>Not proven savings</t>
        </is>
      </c>
      <c r="E8" s="3" t="inlineStr">
        <is>
          <t>BLS compensation model</t>
        </is>
      </c>
    </row>
    <row r="9" ht="32" customHeight="1">
      <c r="A9" s="3" t="inlineStr">
        <is>
          <t>Traditional replacement cost — midpoint</t>
        </is>
      </c>
      <c r="B9" s="5" t="n">
        <v>3291.09</v>
      </c>
      <c r="C9" s="3" t="inlineStr">
        <is>
          <t>Modeled</t>
        </is>
      </c>
      <c r="D9" s="3" t="inlineStr">
        <is>
          <t>Not proven savings</t>
        </is>
      </c>
      <c r="E9" s="3" t="inlineStr">
        <is>
          <t>BLS compensation model</t>
        </is>
      </c>
    </row>
    <row r="10" ht="32" customHeight="1">
      <c r="A10" s="3" t="inlineStr">
        <is>
          <t>Traditional replacement cost — high</t>
        </is>
      </c>
      <c r="B10" s="4" t="n">
        <v>4811.52</v>
      </c>
      <c r="C10" s="3" t="inlineStr">
        <is>
          <t>Modeled</t>
        </is>
      </c>
      <c r="D10" s="3" t="inlineStr">
        <is>
          <t>Not proven savings</t>
        </is>
      </c>
      <c r="E10" s="3" t="inlineStr">
        <is>
          <t>BLS compensation model</t>
        </is>
      </c>
    </row>
    <row r="11" ht="32" customHeight="1">
      <c r="A11" s="3" t="inlineStr">
        <is>
          <t>Modeled compression — midpoint</t>
        </is>
      </c>
      <c r="B11" s="4" t="n">
        <v>39.8</v>
      </c>
      <c r="C11" s="3" t="inlineStr">
        <is>
          <t>Modeled</t>
        </is>
      </c>
      <c r="D11" s="3" t="inlineStr">
        <is>
          <t>Wall-clock scenario</t>
        </is>
      </c>
      <c r="E11" s="3" t="inlineStr">
        <is>
          <t>Calculated from 44 hrs / 66.4 min</t>
        </is>
      </c>
    </row>
    <row r="12" ht="32" customHeight="1">
      <c r="A12" s="3" t="inlineStr">
        <is>
          <t>AI-assisted midpoint hours</t>
        </is>
      </c>
      <c r="B12" s="4" t="n">
        <v>34.58</v>
      </c>
      <c r="C12" s="3" t="inlineStr">
        <is>
          <t>Modeled</t>
        </is>
      </c>
      <c r="D12" s="3" t="inlineStr">
        <is>
          <t>Published studies; not identical task</t>
        </is>
      </c>
      <c r="E12" s="3" t="inlineStr">
        <is>
          <t>GitHub + Harvard/BCG</t>
        </is>
      </c>
    </row>
    <row r="13" ht="32" customHeight="1">
      <c r="A13" s="3" t="inlineStr">
        <is>
          <t>AI-assisted midpoint cost</t>
        </is>
      </c>
      <c r="B13" s="4" t="n">
        <v>2534.2</v>
      </c>
      <c r="C13" s="3" t="inlineStr">
        <is>
          <t>Modeled</t>
        </is>
      </c>
      <c r="D13" s="3" t="inlineStr">
        <is>
          <t>Scenario only</t>
        </is>
      </c>
      <c r="E13" s="3" t="inlineStr">
        <is>
          <t>BLS + productivity adjustment</t>
        </is>
      </c>
    </row>
    <row r="14" ht="32" customHeight="1">
      <c r="A14" s="3" t="inlineStr">
        <is>
          <t>Independent review result</t>
        </is>
      </c>
      <c r="B14" s="3" t="inlineStr">
        <is>
          <t>PASS</t>
        </is>
      </c>
      <c r="C14" s="3" t="inlineStr">
        <is>
          <t>Independently reviewed</t>
        </is>
      </c>
      <c r="D14" s="3" t="inlineStr">
        <is>
          <t>Exact planning subject only</t>
        </is>
      </c>
      <c r="E14" s="3" t="inlineStr">
        <is>
          <t>Independent review record</t>
        </is>
      </c>
    </row>
    <row r="15" ht="32" customHeight="1">
      <c r="A15" s="3" t="inlineStr">
        <is>
          <t>500× status</t>
        </is>
      </c>
      <c r="B15" s="3" t="inlineStr">
        <is>
          <t>Target only</t>
        </is>
      </c>
      <c r="C15" s="3" t="inlineStr">
        <is>
          <t>Target</t>
        </is>
      </c>
      <c r="D15" s="3" t="inlineStr">
        <is>
          <t>Not proven</t>
        </is>
      </c>
      <c r="E15" s="3" t="inlineStr">
        <is>
          <t>Campaign target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26" customWidth="1" min="3" max="3"/>
    <col width="34" customWidth="1" min="4" max="4"/>
    <col width="34" customWidth="1" min="5" max="5"/>
    <col width="14" customWidth="1" min="6" max="6"/>
  </cols>
  <sheetData>
    <row r="1" ht="26" customHeight="1">
      <c r="A1" s="1" t="inlineStr">
        <is>
          <t>Inputs and assumptions</t>
        </is>
      </c>
      <c r="B1" s="1" t="n"/>
      <c r="C1" s="1" t="n"/>
      <c r="D1" s="1" t="n"/>
      <c r="E1" s="1" t="n"/>
      <c r="F1" s="1" t="n"/>
    </row>
    <row r="2">
      <c r="A2" s="2" t="inlineStr">
        <is>
          <t>Input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Type</t>
        </is>
      </c>
      <c r="E2" s="2" t="inlineStr">
        <is>
          <t>Source</t>
        </is>
      </c>
      <c r="F2" s="2" t="inlineStr">
        <is>
          <t>Editable?</t>
        </is>
      </c>
    </row>
    <row r="3" ht="32" customHeight="1">
      <c r="A3" s="3" t="inlineStr">
        <is>
          <t>Runtime artifact window</t>
        </is>
      </c>
      <c r="B3" s="4" t="n">
        <v>66.40000000000001</v>
      </c>
      <c r="C3" s="3" t="inlineStr">
        <is>
          <t>minutes</t>
        </is>
      </c>
      <c r="D3" s="3" t="inlineStr">
        <is>
          <t>Measured</t>
        </is>
      </c>
      <c r="E3" s="3" t="inlineStr">
        <is>
          <t>Audit record</t>
        </is>
      </c>
      <c r="F3" s="4" t="b">
        <v>0</v>
      </c>
    </row>
    <row r="4" ht="32" customHeight="1">
      <c r="A4" s="3" t="inlineStr">
        <is>
          <t>Traditional hours low</t>
        </is>
      </c>
      <c r="B4" s="4" t="n">
        <v>28</v>
      </c>
      <c r="C4" s="3" t="inlineStr">
        <is>
          <t>hours</t>
        </is>
      </c>
      <c r="D4" s="3" t="inlineStr">
        <is>
          <t>Modeled</t>
        </is>
      </c>
      <c r="E4" s="3" t="inlineStr">
        <is>
          <t>Task decomposition</t>
        </is>
      </c>
      <c r="F4" s="4" t="b">
        <v>1</v>
      </c>
    </row>
    <row r="5" ht="32" customHeight="1">
      <c r="A5" s="3" t="inlineStr">
        <is>
          <t>Traditional hours mid</t>
        </is>
      </c>
      <c r="B5" s="4" t="n">
        <v>44</v>
      </c>
      <c r="C5" s="3" t="inlineStr">
        <is>
          <t>hours</t>
        </is>
      </c>
      <c r="D5" s="3" t="inlineStr">
        <is>
          <t>Modeled</t>
        </is>
      </c>
      <c r="E5" s="3" t="inlineStr">
        <is>
          <t>Task decomposition</t>
        </is>
      </c>
      <c r="F5" s="4" t="b">
        <v>1</v>
      </c>
    </row>
    <row r="6" ht="32" customHeight="1">
      <c r="A6" s="3" t="inlineStr">
        <is>
          <t>Traditional hours high</t>
        </is>
      </c>
      <c r="B6" s="4" t="n">
        <v>64</v>
      </c>
      <c r="C6" s="3" t="inlineStr">
        <is>
          <t>hours</t>
        </is>
      </c>
      <c r="D6" s="3" t="inlineStr">
        <is>
          <t>Modeled</t>
        </is>
      </c>
      <c r="E6" s="3" t="inlineStr">
        <is>
          <t>Task decomposition</t>
        </is>
      </c>
      <c r="F6" s="4" t="b">
        <v>1</v>
      </c>
    </row>
    <row r="7" ht="32" customHeight="1">
      <c r="A7" s="3" t="inlineStr">
        <is>
          <t>Traditional cost low</t>
        </is>
      </c>
      <c r="B7" s="4" t="n">
        <v>2090.65</v>
      </c>
      <c r="C7" s="3" t="inlineStr">
        <is>
          <t>USD</t>
        </is>
      </c>
      <c r="D7" s="3" t="inlineStr">
        <is>
          <t>Modeled</t>
        </is>
      </c>
      <c r="E7" s="3" t="inlineStr">
        <is>
          <t>BLS rate-card model</t>
        </is>
      </c>
      <c r="F7" s="4" t="b">
        <v>1</v>
      </c>
    </row>
    <row r="8" ht="32" customHeight="1">
      <c r="A8" s="3" t="inlineStr">
        <is>
          <t>Traditional cost mid</t>
        </is>
      </c>
      <c r="B8" s="4" t="n">
        <v>3291.09</v>
      </c>
      <c r="C8" s="3" t="inlineStr">
        <is>
          <t>USD</t>
        </is>
      </c>
      <c r="D8" s="3" t="inlineStr">
        <is>
          <t>Modeled</t>
        </is>
      </c>
      <c r="E8" s="3" t="inlineStr">
        <is>
          <t>BLS rate-card model</t>
        </is>
      </c>
      <c r="F8" s="4" t="b">
        <v>1</v>
      </c>
    </row>
    <row r="9" ht="32" customHeight="1">
      <c r="A9" s="3" t="inlineStr">
        <is>
          <t>Traditional cost high</t>
        </is>
      </c>
      <c r="B9" s="4" t="n">
        <v>4811.52</v>
      </c>
      <c r="C9" s="3" t="inlineStr">
        <is>
          <t>USD</t>
        </is>
      </c>
      <c r="D9" s="3" t="inlineStr">
        <is>
          <t>Modeled</t>
        </is>
      </c>
      <c r="E9" s="3" t="inlineStr">
        <is>
          <t>BLS rate-card model</t>
        </is>
      </c>
      <c r="F9" s="4" t="b">
        <v>1</v>
      </c>
    </row>
    <row r="10" ht="32" customHeight="1">
      <c r="A10" s="3" t="inlineStr">
        <is>
          <t>AI-assisted hours mid</t>
        </is>
      </c>
      <c r="B10" s="4" t="n">
        <v>34.58</v>
      </c>
      <c r="C10" s="3" t="inlineStr">
        <is>
          <t>hours</t>
        </is>
      </c>
      <c r="D10" s="3" t="inlineStr">
        <is>
          <t>Modeled</t>
        </is>
      </c>
      <c r="E10" s="3" t="inlineStr">
        <is>
          <t>GitHub + Harvard/BCG studies</t>
        </is>
      </c>
      <c r="F10" s="4" t="b">
        <v>1</v>
      </c>
    </row>
    <row r="11" ht="32" customHeight="1">
      <c r="A11" s="3" t="inlineStr">
        <is>
          <t>AI-assisted cost mid</t>
        </is>
      </c>
      <c r="B11" s="4" t="n">
        <v>2534.2</v>
      </c>
      <c r="C11" s="3" t="inlineStr">
        <is>
          <t>USD</t>
        </is>
      </c>
      <c r="D11" s="3" t="inlineStr">
        <is>
          <t>Modeled</t>
        </is>
      </c>
      <c r="E11" s="3" t="inlineStr">
        <is>
          <t>BLS + productivity adjustment</t>
        </is>
      </c>
      <c r="F11" s="4" t="b">
        <v>1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26" customWidth="1" min="3" max="3"/>
    <col width="34" customWidth="1" min="4" max="4"/>
    <col width="34" customWidth="1" min="5" max="5"/>
    <col width="14" customWidth="1" min="6" max="6"/>
    <col width="20" customWidth="1" min="7" max="7"/>
  </cols>
  <sheetData>
    <row r="1" ht="26" customHeight="1">
      <c r="A1" s="1" t="inlineStr">
        <is>
          <t>Calculation model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Scenario</t>
        </is>
      </c>
      <c r="B2" s="2" t="inlineStr">
        <is>
          <t>Traditional hours</t>
        </is>
      </c>
      <c r="C2" s="2" t="inlineStr">
        <is>
          <t>Runtime hours</t>
        </is>
      </c>
      <c r="D2" s="2" t="inlineStr">
        <is>
          <t>Compression (x)</t>
        </is>
      </c>
      <c r="E2" s="2" t="inlineStr">
        <is>
          <t>Traditional cost</t>
        </is>
      </c>
      <c r="F2" s="2" t="inlineStr">
        <is>
          <t>AI-assisted hours</t>
        </is>
      </c>
      <c r="G2" s="2" t="inlineStr">
        <is>
          <t>AI-assisted cost</t>
        </is>
      </c>
    </row>
    <row r="3" ht="32" customHeight="1">
      <c r="A3" s="3" t="inlineStr">
        <is>
          <t>Low</t>
        </is>
      </c>
      <c r="B3" s="3">
        <f>'Inputs &amp; Assumptions'!B4</f>
        <v/>
      </c>
      <c r="C3" s="3">
        <f>'Inputs &amp; Assumptions'!B3/60</f>
        <v/>
      </c>
      <c r="D3" s="6">
        <f>B3/C3</f>
        <v/>
      </c>
      <c r="E3" s="7">
        <f>'Inputs &amp; Assumptions'!B7</f>
        <v/>
      </c>
      <c r="F3" s="3">
        <f>'Inputs &amp; Assumptions'!B10*('Inputs &amp; Assumptions'!B4/'Inputs &amp; Assumptions'!B5)</f>
        <v/>
      </c>
      <c r="G3" s="7">
        <f>'Inputs &amp; Assumptions'!B11*('Inputs &amp; Assumptions'!B7/'Inputs &amp; Assumptions'!B8)</f>
        <v/>
      </c>
    </row>
    <row r="4" ht="32" customHeight="1">
      <c r="A4" s="3" t="inlineStr">
        <is>
          <t>Mid</t>
        </is>
      </c>
      <c r="B4" s="3">
        <f>'Inputs &amp; Assumptions'!B5</f>
        <v/>
      </c>
      <c r="C4" s="3">
        <f>'Inputs &amp; Assumptions'!B3/60</f>
        <v/>
      </c>
      <c r="D4" s="6">
        <f>B4/C4</f>
        <v/>
      </c>
      <c r="E4" s="7">
        <f>'Inputs &amp; Assumptions'!B8</f>
        <v/>
      </c>
      <c r="F4" s="3">
        <f>'Inputs &amp; Assumptions'!B10</f>
        <v/>
      </c>
      <c r="G4" s="7">
        <f>'Inputs &amp; Assumptions'!B11</f>
        <v/>
      </c>
    </row>
    <row r="5" ht="32" customHeight="1">
      <c r="A5" s="3" t="inlineStr">
        <is>
          <t>High</t>
        </is>
      </c>
      <c r="B5" s="3">
        <f>'Inputs &amp; Assumptions'!B6</f>
        <v/>
      </c>
      <c r="C5" s="3">
        <f>'Inputs &amp; Assumptions'!B3/60</f>
        <v/>
      </c>
      <c r="D5" s="6">
        <f>B5/C5</f>
        <v/>
      </c>
      <c r="E5" s="7">
        <f>'Inputs &amp; Assumptions'!B9</f>
        <v/>
      </c>
      <c r="F5" s="3">
        <f>'Inputs &amp; Assumptions'!B10*('Inputs &amp; Assumptions'!B6/'Inputs &amp; Assumptions'!B5)</f>
        <v/>
      </c>
      <c r="G5" s="7">
        <f>'Inputs &amp; Assumptions'!B11*('Inputs &amp; Assumptions'!B9/'Inputs &amp; Assumptions'!B8)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26" customWidth="1" min="3" max="3"/>
  </cols>
  <sheetData>
    <row r="1" ht="26" customHeight="1">
      <c r="A1" s="1" t="inlineStr">
        <is>
          <t>Public sources</t>
        </is>
      </c>
      <c r="B1" s="1" t="n"/>
      <c r="C1" s="1" t="n"/>
    </row>
    <row r="2">
      <c r="A2" s="2" t="inlineStr">
        <is>
          <t>Source</t>
        </is>
      </c>
      <c r="B2" s="2" t="inlineStr">
        <is>
          <t>URL</t>
        </is>
      </c>
      <c r="C2" s="2" t="inlineStr">
        <is>
          <t>Used for</t>
        </is>
      </c>
    </row>
    <row r="3" ht="32" customHeight="1">
      <c r="A3" s="3" t="inlineStr">
        <is>
          <t>BLS Software Developers &amp; QA</t>
        </is>
      </c>
      <c r="B3" s="3" t="inlineStr">
        <is>
          <t>https://www.bls.gov/ooh/Computer-and-Information-Technology/Software-developers.htm</t>
        </is>
      </c>
      <c r="C3" s="3" t="inlineStr">
        <is>
          <t>Compensation or productivity benchmark</t>
        </is>
      </c>
    </row>
    <row r="4" ht="32" customHeight="1">
      <c r="A4" s="3" t="inlineStr">
        <is>
          <t>BLS Project Management Specialists</t>
        </is>
      </c>
      <c r="B4" s="3" t="inlineStr">
        <is>
          <t>https://www.bls.gov/ooh/business-and-financial/project-management-specialists.htm</t>
        </is>
      </c>
      <c r="C4" s="3" t="inlineStr">
        <is>
          <t>Compensation or productivity benchmark</t>
        </is>
      </c>
    </row>
    <row r="5" ht="32" customHeight="1">
      <c r="A5" s="3" t="inlineStr">
        <is>
          <t>BLS Management Analysts</t>
        </is>
      </c>
      <c r="B5" s="3" t="inlineStr">
        <is>
          <t>https://www.bls.gov/ooh/business-and-financial/management-analysts.htm</t>
        </is>
      </c>
      <c r="C5" s="3" t="inlineStr">
        <is>
          <t>Compensation or productivity benchmark</t>
        </is>
      </c>
    </row>
    <row r="6" ht="32" customHeight="1">
      <c r="A6" s="3" t="inlineStr">
        <is>
          <t>BLS Technical Writers</t>
        </is>
      </c>
      <c r="B6" s="3" t="inlineStr">
        <is>
          <t>https://www.bls.gov/ooh/media-and-communication/technical-writers.htm</t>
        </is>
      </c>
      <c r="C6" s="3" t="inlineStr">
        <is>
          <t>Compensation or productivity benchmark</t>
        </is>
      </c>
    </row>
    <row r="7" ht="32" customHeight="1">
      <c r="A7" s="3" t="inlineStr">
        <is>
          <t>BLS Market Research Analysts</t>
        </is>
      </c>
      <c r="B7" s="3" t="inlineStr">
        <is>
          <t>https://www.bls.gov/ooh/business-and-financial/market-research-analysts.htm</t>
        </is>
      </c>
      <c r="C7" s="3" t="inlineStr">
        <is>
          <t>Compensation or productivity benchmark</t>
        </is>
      </c>
    </row>
    <row r="8" ht="32" customHeight="1">
      <c r="A8" s="3" t="inlineStr">
        <is>
          <t>BLS ECEC News Release</t>
        </is>
      </c>
      <c r="B8" s="3" t="inlineStr">
        <is>
          <t>https://www.bls.gov/news.release/ecec.nr0.htm</t>
        </is>
      </c>
      <c r="C8" s="3" t="inlineStr">
        <is>
          <t>Compensation or productivity benchmark</t>
        </is>
      </c>
    </row>
    <row r="9" ht="32" customHeight="1">
      <c r="A9" s="3" t="inlineStr">
        <is>
          <t>BLS ECEC Industry Chart</t>
        </is>
      </c>
      <c r="B9" s="3" t="inlineStr">
        <is>
          <t>https://www.bls.gov/charts/employer-costs-for-employee-compensation/costs-by-industry.htm</t>
        </is>
      </c>
      <c r="C9" s="3" t="inlineStr">
        <is>
          <t>Compensation or productivity benchmark</t>
        </is>
      </c>
    </row>
    <row r="10" ht="32" customHeight="1">
      <c r="A10" s="3" t="inlineStr">
        <is>
          <t>BLS ECEC Occupational Table</t>
        </is>
      </c>
      <c r="B10" s="3" t="inlineStr">
        <is>
          <t>https://www.bls.gov/news.release/ecec.t02.htm</t>
        </is>
      </c>
      <c r="C10" s="3" t="inlineStr">
        <is>
          <t>Compensation or productivity benchmark</t>
        </is>
      </c>
    </row>
    <row r="11" ht="32" customHeight="1">
      <c r="A11" s="3" t="inlineStr">
        <is>
          <t>GitHub Copilot controlled study</t>
        </is>
      </c>
      <c r="B11" s="3" t="inlineStr">
        <is>
          <t>https://github.blog/news-insights/research/research-quantifying-github-copilots-impact-on-developer-productivity-and-happiness/</t>
        </is>
      </c>
      <c r="C11" s="3" t="inlineStr">
        <is>
          <t>Compensation or productivity benchmark</t>
        </is>
      </c>
    </row>
    <row r="12" ht="32" customHeight="1">
      <c r="A12" s="3" t="inlineStr">
        <is>
          <t>Harvard/BCG GPT-4 study</t>
        </is>
      </c>
      <c r="B12" s="3" t="inlineStr">
        <is>
          <t>https://www.hbs.edu/ris/download.aspx?name=24-013.pdf</t>
        </is>
      </c>
      <c r="C12" s="3" t="inlineStr">
        <is>
          <t>Compensation or productivity benchmark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26" customWidth="1" min="3" max="3"/>
    <col width="34" customWidth="1" min="4" max="4"/>
  </cols>
  <sheetData>
    <row r="1" ht="26" customHeight="1">
      <c r="A1" s="1" t="inlineStr">
        <is>
          <t>What the evidence supports</t>
        </is>
      </c>
      <c r="B1" s="1" t="n"/>
      <c r="C1" s="1" t="n"/>
      <c r="D1" s="1" t="n"/>
    </row>
    <row r="2">
      <c r="A2" s="2" t="inlineStr">
        <is>
          <t>Topic</t>
        </is>
      </c>
      <c r="B2" s="2" t="inlineStr">
        <is>
          <t>Supported wording</t>
        </is>
      </c>
      <c r="C2" s="2" t="inlineStr">
        <is>
          <t>Type</t>
        </is>
      </c>
      <c r="D2" s="2" t="inlineStr">
        <is>
          <t>Do not say</t>
        </is>
      </c>
    </row>
    <row r="3" ht="32" customHeight="1">
      <c r="A3" s="3" t="inlineStr">
        <is>
          <t>Runtime</t>
        </is>
      </c>
      <c r="B3" s="3" t="inlineStr">
        <is>
          <t>Produced within a documented runtime artifact window of about 66 minutes.</t>
        </is>
      </c>
      <c r="C3" s="3" t="inlineStr">
        <is>
          <t>Measured</t>
        </is>
      </c>
      <c r="D3" s="3" t="inlineStr">
        <is>
          <t>66 minutes of compute time.</t>
        </is>
      </c>
    </row>
    <row r="4" ht="32" customHeight="1">
      <c r="A4" s="3" t="inlineStr">
        <is>
          <t>Replacement cost</t>
        </is>
      </c>
      <c r="B4" s="3" t="inlineStr">
        <is>
          <t>Modeled conventional replacement-labor scenario of $2.1k–$4.8k.</t>
        </is>
      </c>
      <c r="C4" s="3" t="inlineStr">
        <is>
          <t>Modeled</t>
        </is>
      </c>
      <c r="D4" s="3" t="inlineStr">
        <is>
          <t>Saved $2.1k–$4.8k.</t>
        </is>
      </c>
    </row>
    <row r="5" ht="32" customHeight="1">
      <c r="A5" s="3" t="inlineStr">
        <is>
          <t>Human hours</t>
        </is>
      </c>
      <c r="B5" s="3" t="inlineStr">
        <is>
          <t>Modeled traditional effort of 28–64 hours.</t>
        </is>
      </c>
      <c r="C5" s="3" t="inlineStr">
        <is>
          <t>Modeled</t>
        </is>
      </c>
      <c r="D5" s="3" t="inlineStr">
        <is>
          <t>Definitely replaced 44 hours.</t>
        </is>
      </c>
    </row>
    <row r="6" ht="32" customHeight="1">
      <c r="A6" s="3" t="inlineStr">
        <is>
          <t>500×</t>
        </is>
      </c>
      <c r="B6" s="3" t="inlineStr">
        <is>
          <t>500× remains a target, not a claim.</t>
        </is>
      </c>
      <c r="C6" s="3" t="inlineStr">
        <is>
          <t>Target</t>
        </is>
      </c>
      <c r="D6" s="3" t="inlineStr">
        <is>
          <t>UBuildOS™ was 500× faster.</t>
        </is>
      </c>
    </row>
    <row r="7" ht="32" customHeight="1">
      <c r="A7" s="3" t="inlineStr">
        <is>
          <t>Campaign status</t>
        </is>
      </c>
      <c r="B7" s="3" t="inlineStr">
        <is>
          <t>The planning subject passed independent review; the 30-day campaign itself has not been executed.</t>
        </is>
      </c>
      <c r="C7" s="3" t="inlineStr">
        <is>
          <t>Independently verified / documented</t>
        </is>
      </c>
      <c r="D7" s="3" t="inlineStr">
        <is>
          <t>The 30-day campaign is complete.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2026-09-19T17:59:25Z</dcterms:created>
  <dcterms:modified xmlns:dcterms="http://purl.org/dc/terms/" xmlns:xsi="http://www.w3.org/2001/XMLSchema-instance" xsi:type="dcterms:W3CDTF">2026-09-19T17:59:25Z</dcterms:modified>
</cp:coreProperties>
</file>